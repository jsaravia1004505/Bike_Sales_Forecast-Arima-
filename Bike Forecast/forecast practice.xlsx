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cja\Downloads\"/>
    </mc:Choice>
  </mc:AlternateContent>
  <bookViews>
    <workbookView xWindow="0" yWindow="0" windowWidth="25600" windowHeight="121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1" l="1"/>
  <c r="L28" i="1"/>
  <c r="M27" i="1"/>
  <c r="L27" i="1"/>
  <c r="M26" i="1"/>
  <c r="L26" i="1"/>
  <c r="M25" i="1"/>
  <c r="L25" i="1"/>
  <c r="J21" i="1"/>
  <c r="G11" i="1"/>
</calcChain>
</file>

<file path=xl/sharedStrings.xml><?xml version="1.0" encoding="utf-8"?>
<sst xmlns="http://schemas.openxmlformats.org/spreadsheetml/2006/main" count="41" uniqueCount="29">
  <si>
    <t>Daily data:</t>
  </si>
  <si>
    <t>730 points</t>
  </si>
  <si>
    <t>Test</t>
  </si>
  <si>
    <t>Dickey Fuller</t>
  </si>
  <si>
    <t>P-Value</t>
  </si>
  <si>
    <t>Accept Ho</t>
  </si>
  <si>
    <t>Interpretation</t>
  </si>
  <si>
    <t>Data is not stationary</t>
  </si>
  <si>
    <t>Mann-Kendall</t>
  </si>
  <si>
    <t>Accept Hi</t>
  </si>
  <si>
    <t>Data have trend</t>
  </si>
  <si>
    <t>Ljung-Box</t>
  </si>
  <si>
    <t>there is auto regression</t>
  </si>
  <si>
    <r>
      <t>ARIMA</t>
    </r>
    <r>
      <rPr>
        <sz val="13"/>
        <color theme="1"/>
        <rFont val="Cascadia Mono ExtraLight"/>
        <family val="3"/>
      </rPr>
      <t xml:space="preserve"> (2,1,3)</t>
    </r>
  </si>
  <si>
    <t>MAPE</t>
  </si>
  <si>
    <t>Monthly data:</t>
  </si>
  <si>
    <t>24 points</t>
  </si>
  <si>
    <t>decision</t>
  </si>
  <si>
    <t>time serie non stationary</t>
  </si>
  <si>
    <t>time series have trend</t>
  </si>
  <si>
    <t>There is not auto correlation</t>
  </si>
  <si>
    <t>ARIMA(2,0,0)</t>
  </si>
  <si>
    <t>R</t>
  </si>
  <si>
    <t>P</t>
  </si>
  <si>
    <t>MSE</t>
  </si>
  <si>
    <t>ETS(A,N,N)</t>
  </si>
  <si>
    <t>lm(Y ~ X)</t>
  </si>
  <si>
    <t>Random Forest (ntree = 20)</t>
  </si>
  <si>
    <t>Model: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</si>
</sst>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scadia Code ExtraLight"/>
      <family val="3"/>
    </font>
    <font>
      <sz val="11"/>
      <color theme="1"/>
      <name val="Arial Black"/>
      <family val="2"/>
    </font>
    <font>
      <b/>
      <sz val="11"/>
      <color theme="1"/>
      <name val="Cascadia Code ExtraLight"/>
      <family val="3"/>
    </font>
    <font>
      <sz val="13"/>
      <color theme="1"/>
      <name val="Arial Black"/>
      <family val="2"/>
    </font>
    <font>
      <sz val="13"/>
      <color theme="1"/>
      <name val="Cascadia Mono ExtraLight"/>
      <family val="3"/>
    </font>
    <font>
      <b/>
      <sz val="10"/>
      <color rgb="FF000000"/>
      <name val="Cascadia Code ExtraLight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673100</xdr:colOff>
      <xdr:row>8</xdr:row>
      <xdr:rowOff>146050</xdr:rowOff>
    </xdr:from>
    <xdr:to>
      <xdr:col>4</xdr:col>
      <xdr:colOff>654050</xdr:colOff>
      <xdr:row>30</xdr:row>
      <xdr:rowOff>184507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24050"/>
          <a:ext cx="4762500" cy="4927957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3</xdr:row>
      <xdr:rowOff>1</xdr:rowOff>
    </xdr:from>
    <xdr:to>
      <xdr:col>10</xdr:col>
      <xdr:colOff>993943</xdr:colOff>
      <xdr:row>14</xdr:row>
      <xdr:rowOff>107951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8000" y="666751"/>
          <a:ext cx="4365793" cy="2552700"/>
        </a:xfrm>
        <a:prstGeom prst="rect">
          <a:avLst/>
        </a:prstGeom>
      </xdr:spPr>
    </xdr:pic>
    <xdr:clientData/>
  </xdr:twoCellAnchor>
  <xdr:twoCellAnchor editAs="oneCell">
    <xdr:from>
      <xdr:col>11</xdr:col>
      <xdr:colOff>933451</xdr:colOff>
      <xdr:row>2</xdr:row>
      <xdr:rowOff>127000</xdr:rowOff>
    </xdr:from>
    <xdr:to>
      <xdr:col>17</xdr:col>
      <xdr:colOff>64307</xdr:colOff>
      <xdr:row>17</xdr:row>
      <xdr:rowOff>133349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0351" y="571500"/>
          <a:ext cx="5252256" cy="334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showGridLines="0" tabSelected="1" topLeftCell="C6" workbookViewId="0">
      <selection activeCell="G14" sqref="G14"/>
    </sheetView>
  </sheetViews>
  <sheetFormatPr baseColWidth="10" defaultColWidth="12.36328125" defaultRowHeight="17.5" customHeight="1" x14ac:dyDescent="0.35"/>
  <cols>
    <col min="1" max="1" width="12.36328125" style="1"/>
    <col min="2" max="2" width="23.1796875" style="1" customWidth="1"/>
    <col min="3" max="4" width="16.453125" style="1" customWidth="1"/>
    <col min="5" max="5" width="16.453125" style="2" customWidth="1"/>
    <col min="6" max="8" width="16.453125" style="1" customWidth="1"/>
    <col min="9" max="9" width="32.08984375" style="1" bestFit="1" customWidth="1"/>
    <col min="10" max="11" width="16.453125" style="1" customWidth="1"/>
    <col min="12" max="12" width="16.453125" style="2" customWidth="1"/>
    <col min="13" max="13" width="17.6328125" style="1" bestFit="1" customWidth="1"/>
    <col min="14" max="14" width="16.453125" style="1" customWidth="1"/>
    <col min="15" max="16384" width="12.36328125" style="1"/>
  </cols>
  <sheetData>
    <row r="1" spans="2:15" ht="17.5" customHeight="1" thickBot="1" x14ac:dyDescent="0.4"/>
    <row r="2" spans="2:15" ht="17.5" customHeight="1" thickBot="1" x14ac:dyDescent="0.4">
      <c r="B2" s="3" t="s">
        <v>0</v>
      </c>
      <c r="C2" s="4"/>
      <c r="D2" s="5" t="s">
        <v>1</v>
      </c>
      <c r="E2" s="5"/>
      <c r="F2" s="4"/>
      <c r="I2" s="3" t="s">
        <v>15</v>
      </c>
      <c r="J2" s="4"/>
      <c r="K2" s="5" t="s">
        <v>16</v>
      </c>
      <c r="L2" s="5"/>
      <c r="M2" s="4"/>
    </row>
    <row r="4" spans="2:15" ht="17.5" customHeight="1" x14ac:dyDescent="0.35">
      <c r="B4" s="9" t="s">
        <v>2</v>
      </c>
      <c r="C4" s="10" t="s">
        <v>4</v>
      </c>
      <c r="D4" s="10" t="s">
        <v>17</v>
      </c>
      <c r="E4" s="8" t="s">
        <v>6</v>
      </c>
      <c r="F4" s="8"/>
      <c r="G4" s="8"/>
      <c r="I4" s="2"/>
      <c r="J4" s="2"/>
      <c r="K4" s="2"/>
      <c r="M4" s="2"/>
      <c r="N4" s="2"/>
      <c r="O4" s="2"/>
    </row>
    <row r="5" spans="2:15" ht="17.5" customHeight="1" x14ac:dyDescent="0.35">
      <c r="B5" s="2" t="s">
        <v>3</v>
      </c>
      <c r="C5" s="11">
        <v>0.1845</v>
      </c>
      <c r="D5" s="2" t="s">
        <v>5</v>
      </c>
      <c r="E5" s="2" t="s">
        <v>7</v>
      </c>
      <c r="F5" s="2"/>
      <c r="G5" s="2"/>
      <c r="I5" s="2"/>
      <c r="J5" s="11"/>
      <c r="K5" s="2"/>
      <c r="M5" s="2"/>
      <c r="N5" s="2"/>
    </row>
    <row r="6" spans="2:15" ht="17.5" customHeight="1" x14ac:dyDescent="0.35">
      <c r="B6" s="2" t="s">
        <v>8</v>
      </c>
      <c r="C6" s="11">
        <v>0</v>
      </c>
      <c r="D6" s="2" t="s">
        <v>9</v>
      </c>
      <c r="E6" s="2" t="s">
        <v>10</v>
      </c>
      <c r="F6" s="2"/>
      <c r="G6" s="2"/>
      <c r="I6" s="2"/>
      <c r="J6" s="11"/>
      <c r="K6" s="2"/>
      <c r="M6" s="2"/>
      <c r="N6" s="2"/>
    </row>
    <row r="7" spans="2:15" ht="17.5" customHeight="1" x14ac:dyDescent="0.35">
      <c r="B7" s="2" t="s">
        <v>11</v>
      </c>
      <c r="C7" s="11">
        <v>0</v>
      </c>
      <c r="D7" s="2" t="s">
        <v>9</v>
      </c>
      <c r="E7" s="2" t="s">
        <v>12</v>
      </c>
      <c r="F7" s="2"/>
      <c r="G7" s="2"/>
      <c r="I7" s="2"/>
      <c r="J7" s="11"/>
      <c r="K7" s="2"/>
      <c r="M7" s="2"/>
      <c r="N7" s="2"/>
    </row>
    <row r="8" spans="2:15" ht="17.5" customHeight="1" x14ac:dyDescent="0.35">
      <c r="B8" s="6"/>
      <c r="C8" s="7"/>
      <c r="I8" s="6"/>
      <c r="J8" s="7"/>
    </row>
    <row r="9" spans="2:15" ht="17.5" customHeight="1" x14ac:dyDescent="0.35">
      <c r="B9" s="6"/>
      <c r="C9" s="7"/>
      <c r="I9" s="6"/>
      <c r="J9" s="7"/>
    </row>
    <row r="10" spans="2:15" ht="17.5" customHeight="1" x14ac:dyDescent="0.35">
      <c r="B10" s="6"/>
      <c r="C10" s="7"/>
      <c r="F10" s="12" t="s">
        <v>13</v>
      </c>
      <c r="I10" s="6"/>
      <c r="J10" s="7"/>
      <c r="M10" s="12"/>
    </row>
    <row r="11" spans="2:15" ht="17.5" customHeight="1" x14ac:dyDescent="0.35">
      <c r="B11" s="6"/>
      <c r="C11" s="7"/>
      <c r="F11" s="2" t="s">
        <v>14</v>
      </c>
      <c r="G11" s="13">
        <f>1.094479</f>
        <v>1.094479</v>
      </c>
      <c r="I11" s="6"/>
      <c r="J11" s="7"/>
      <c r="M11" s="2"/>
      <c r="N11" s="13"/>
    </row>
    <row r="12" spans="2:15" ht="17.5" customHeight="1" x14ac:dyDescent="0.35">
      <c r="B12" s="6"/>
      <c r="C12" s="7"/>
      <c r="I12" s="6"/>
      <c r="J12" s="7"/>
    </row>
    <row r="13" spans="2:15" ht="17.5" customHeight="1" x14ac:dyDescent="0.35">
      <c r="B13" s="6"/>
      <c r="C13" s="7"/>
      <c r="I13" s="6"/>
      <c r="J13" s="7"/>
    </row>
    <row r="14" spans="2:15" ht="17.5" customHeight="1" x14ac:dyDescent="0.35">
      <c r="B14" s="6"/>
      <c r="C14" s="7"/>
      <c r="I14" s="6"/>
      <c r="J14" s="7"/>
    </row>
    <row r="15" spans="2:15" ht="17.5" customHeight="1" x14ac:dyDescent="0.35">
      <c r="B15" s="6"/>
      <c r="C15" s="7"/>
      <c r="I15" s="6"/>
      <c r="J15" s="7"/>
    </row>
    <row r="16" spans="2:15" ht="17.5" customHeight="1" x14ac:dyDescent="0.35">
      <c r="B16" s="6"/>
      <c r="C16" s="7"/>
      <c r="I16" s="6"/>
      <c r="J16" s="7"/>
    </row>
    <row r="17" spans="2:14" ht="17.5" customHeight="1" x14ac:dyDescent="0.35">
      <c r="B17" s="6"/>
      <c r="C17" s="7"/>
      <c r="I17" s="6"/>
      <c r="J17" s="7"/>
    </row>
    <row r="18" spans="2:14" ht="17.5" customHeight="1" x14ac:dyDescent="0.35">
      <c r="B18" s="6"/>
      <c r="C18" s="7"/>
      <c r="I18" s="6"/>
      <c r="J18" s="7"/>
    </row>
    <row r="19" spans="2:14" ht="17.5" customHeight="1" x14ac:dyDescent="0.35">
      <c r="B19" s="6"/>
      <c r="C19" s="7"/>
      <c r="I19" s="9" t="s">
        <v>2</v>
      </c>
      <c r="J19" s="10" t="s">
        <v>4</v>
      </c>
      <c r="K19" s="10" t="s">
        <v>17</v>
      </c>
      <c r="L19" s="8" t="s">
        <v>6</v>
      </c>
      <c r="M19" s="8"/>
      <c r="N19" s="8"/>
    </row>
    <row r="20" spans="2:14" ht="17.5" customHeight="1" x14ac:dyDescent="0.35">
      <c r="B20" s="6"/>
      <c r="C20" s="7"/>
      <c r="I20" s="2" t="s">
        <v>3</v>
      </c>
      <c r="J20" s="11">
        <v>0.18329999999999999</v>
      </c>
      <c r="K20" s="2" t="s">
        <v>5</v>
      </c>
      <c r="L20" s="2" t="s">
        <v>18</v>
      </c>
      <c r="M20" s="2"/>
      <c r="N20" s="2"/>
    </row>
    <row r="21" spans="2:14" ht="17.5" customHeight="1" x14ac:dyDescent="0.35">
      <c r="B21" s="6"/>
      <c r="C21" s="7"/>
      <c r="I21" s="2" t="s">
        <v>8</v>
      </c>
      <c r="J21" s="11">
        <f>0.00005275</f>
        <v>5.2750000000000001E-5</v>
      </c>
      <c r="K21" s="2" t="s">
        <v>9</v>
      </c>
      <c r="L21" s="2" t="s">
        <v>19</v>
      </c>
      <c r="M21" s="2"/>
      <c r="N21" s="2"/>
    </row>
    <row r="22" spans="2:14" ht="17.5" customHeight="1" x14ac:dyDescent="0.35">
      <c r="B22" s="6"/>
      <c r="C22" s="7"/>
      <c r="I22" s="2" t="s">
        <v>11</v>
      </c>
      <c r="J22" s="11">
        <v>1.0119999999999999E-4</v>
      </c>
      <c r="K22" s="2" t="s">
        <v>5</v>
      </c>
      <c r="L22" s="2" t="s">
        <v>20</v>
      </c>
      <c r="M22" s="2"/>
      <c r="N22" s="2"/>
    </row>
    <row r="23" spans="2:14" ht="17.5" customHeight="1" x14ac:dyDescent="0.35">
      <c r="B23" s="6"/>
      <c r="C23" s="7"/>
      <c r="I23" s="6"/>
      <c r="J23" s="7"/>
    </row>
    <row r="24" spans="2:14" ht="17.5" customHeight="1" x14ac:dyDescent="0.35">
      <c r="B24" s="6"/>
      <c r="C24" s="7"/>
      <c r="I24" s="17" t="s">
        <v>28</v>
      </c>
      <c r="J24" s="18" t="s">
        <v>22</v>
      </c>
      <c r="K24" s="19" t="s">
        <v>23</v>
      </c>
      <c r="L24" s="19" t="s">
        <v>14</v>
      </c>
      <c r="M24" s="19" t="s">
        <v>24</v>
      </c>
    </row>
    <row r="25" spans="2:14" ht="17.5" customHeight="1" x14ac:dyDescent="0.35">
      <c r="B25" s="6"/>
      <c r="C25" s="7"/>
      <c r="I25" s="20" t="s">
        <v>21</v>
      </c>
      <c r="J25" s="21">
        <v>123713</v>
      </c>
      <c r="K25" s="21">
        <v>119846.1</v>
      </c>
      <c r="L25" s="22">
        <f>ABS((J25-K25)/J25)</f>
        <v>3.1257022301617407E-2</v>
      </c>
      <c r="M25" s="21">
        <f>AVERAGE((J25-K25)^2)</f>
        <v>14952915.609999955</v>
      </c>
    </row>
    <row r="26" spans="2:14" ht="17.5" customHeight="1" x14ac:dyDescent="0.35">
      <c r="B26" s="6"/>
      <c r="C26" s="7"/>
      <c r="I26" s="20" t="s">
        <v>25</v>
      </c>
      <c r="J26" s="21">
        <v>123713</v>
      </c>
      <c r="K26" s="21">
        <v>152668.6</v>
      </c>
      <c r="L26" s="22">
        <f>ABS((J26-K26)/J26)</f>
        <v>0.23405462643376207</v>
      </c>
      <c r="M26" s="21">
        <f>AVERAGE((J26-K26)^2)</f>
        <v>838426771.36000037</v>
      </c>
    </row>
    <row r="27" spans="2:14" ht="17.5" customHeight="1" x14ac:dyDescent="0.35">
      <c r="B27" s="6"/>
      <c r="C27" s="7"/>
      <c r="I27" s="20" t="s">
        <v>26</v>
      </c>
      <c r="J27" s="21">
        <v>123713</v>
      </c>
      <c r="K27" s="21">
        <v>211514</v>
      </c>
      <c r="L27" s="22">
        <f>ABS((J27-K27)/J27)</f>
        <v>0.70971522798735787</v>
      </c>
      <c r="M27" s="21">
        <f>AVERAGE((J27-K27)^2)</f>
        <v>7709015601</v>
      </c>
    </row>
    <row r="28" spans="2:14" ht="17.5" customHeight="1" x14ac:dyDescent="0.35">
      <c r="B28" s="6"/>
      <c r="C28" s="7"/>
      <c r="I28" s="20" t="s">
        <v>27</v>
      </c>
      <c r="J28" s="21">
        <v>123713</v>
      </c>
      <c r="K28" s="21">
        <v>167738.20000000001</v>
      </c>
      <c r="L28" s="22">
        <f>ABS((J28-K28)/J28)</f>
        <v>0.35586559213663893</v>
      </c>
      <c r="M28" s="21">
        <f>AVERAGE((J28-K28)^2)</f>
        <v>1938218235.0400009</v>
      </c>
    </row>
    <row r="29" spans="2:14" ht="17.5" customHeight="1" x14ac:dyDescent="0.35">
      <c r="I29" s="16"/>
      <c r="J29" s="14"/>
      <c r="K29" s="14"/>
      <c r="L29" s="15"/>
      <c r="M29" s="14"/>
    </row>
    <row r="30" spans="2:14" ht="17.5" customHeight="1" x14ac:dyDescent="0.35">
      <c r="I30" s="16"/>
      <c r="J30" s="14"/>
      <c r="K30" s="14"/>
      <c r="L30" s="15"/>
      <c r="M30" s="14"/>
    </row>
    <row r="31" spans="2:14" ht="17.5" customHeight="1" x14ac:dyDescent="0.35">
      <c r="I31" s="16"/>
      <c r="J31" s="14"/>
      <c r="K31" s="14"/>
      <c r="L31" s="15"/>
      <c r="M31" s="14"/>
    </row>
    <row r="32" spans="2:14" ht="17.5" customHeight="1" x14ac:dyDescent="0.35">
      <c r="I32" s="16"/>
      <c r="J32" s="14"/>
      <c r="K32" s="14"/>
      <c r="L32" s="15"/>
      <c r="M32" s="14"/>
    </row>
    <row r="33" spans="9:13" ht="17.5" customHeight="1" x14ac:dyDescent="0.35">
      <c r="I33" s="16"/>
      <c r="J33" s="14"/>
      <c r="K33" s="14"/>
      <c r="L33" s="15"/>
      <c r="M33" s="14"/>
    </row>
    <row r="34" spans="9:13" ht="17.5" customHeight="1" x14ac:dyDescent="0.35">
      <c r="I34" s="16"/>
      <c r="J34" s="14"/>
      <c r="K34" s="14"/>
      <c r="L34" s="15"/>
      <c r="M34" s="14"/>
    </row>
    <row r="35" spans="9:13" ht="17.5" customHeight="1" x14ac:dyDescent="0.35">
      <c r="I35" s="16"/>
      <c r="J35" s="14"/>
      <c r="K35" s="14"/>
      <c r="L35" s="15"/>
      <c r="M35" s="14"/>
    </row>
    <row r="36" spans="9:13" ht="17.5" customHeight="1" x14ac:dyDescent="0.35">
      <c r="I36" s="16"/>
      <c r="J36" s="14"/>
      <c r="K36" s="14"/>
      <c r="L36" s="15"/>
      <c r="M36" s="14"/>
    </row>
  </sheetData>
  <mergeCells count="2">
    <mergeCell ref="E4:G4"/>
    <mergeCell ref="L19:N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Saravia</dc:creator>
  <cp:lastModifiedBy>Javier Saravia</cp:lastModifiedBy>
  <dcterms:created xsi:type="dcterms:W3CDTF">2026-06-29T17:54:36Z</dcterms:created>
  <dcterms:modified xsi:type="dcterms:W3CDTF">2026-06-29T20:01:23Z</dcterms:modified>
</cp:coreProperties>
</file>